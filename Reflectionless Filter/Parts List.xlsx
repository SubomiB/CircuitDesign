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myunt.sharepoint.com/sites/SeniorDesign359/Shared Documents/General/"/>
    </mc:Choice>
  </mc:AlternateContent>
  <xr:revisionPtr revIDLastSave="217" documentId="13_ncr:1_{5F0480E7-52CF-49C0-9E19-9818F877172D}" xr6:coauthVersionLast="47" xr6:coauthVersionMax="47" xr10:uidLastSave="{CAAD562B-6B66-441B-90E4-66F9F55F4E7C}"/>
  <bookViews>
    <workbookView xWindow="-25320" yWindow="270" windowWidth="25440" windowHeight="15390" xr2:uid="{87450FA6-6A8C-4801-9D46-4B77A2E8280C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" i="1" l="1"/>
  <c r="I25" i="1"/>
  <c r="I10" i="1"/>
  <c r="I7" i="1"/>
  <c r="I20" i="1"/>
  <c r="I27" i="1"/>
  <c r="I15" i="1"/>
  <c r="I16" i="1"/>
  <c r="I17" i="1"/>
  <c r="I18" i="1"/>
  <c r="I19" i="1"/>
  <c r="I9" i="1"/>
  <c r="I8" i="1"/>
  <c r="I6" i="1"/>
  <c r="I35" i="1" l="1"/>
</calcChain>
</file>

<file path=xl/sharedStrings.xml><?xml version="1.0" encoding="utf-8"?>
<sst xmlns="http://schemas.openxmlformats.org/spreadsheetml/2006/main" count="87" uniqueCount="54">
  <si>
    <t>Parts List</t>
  </si>
  <si>
    <t>Inductors</t>
  </si>
  <si>
    <t>Inductance</t>
  </si>
  <si>
    <t>Part Number</t>
  </si>
  <si>
    <t>Nominal value (nH)</t>
  </si>
  <si>
    <t>Tolerance</t>
  </si>
  <si>
    <t>Q (Min.)</t>
  </si>
  <si>
    <t>Self-resonant frequency (GHz min.)</t>
  </si>
  <si>
    <t>Package Size (mm)</t>
  </si>
  <si>
    <t>Qty.</t>
  </si>
  <si>
    <t>Price ea.</t>
  </si>
  <si>
    <t>Price total</t>
  </si>
  <si>
    <t>LQW15AN5N7B80D</t>
  </si>
  <si>
    <t>B: ±0.1 nH</t>
  </si>
  <si>
    <t>0402</t>
  </si>
  <si>
    <t>LQW15AN5N2B80D</t>
  </si>
  <si>
    <t>LQG15WZ2N4B02D</t>
  </si>
  <si>
    <t>±0.1 nH</t>
  </si>
  <si>
    <t>LQW15AN16NG80D</t>
  </si>
  <si>
    <t>G: ±2%</t>
  </si>
  <si>
    <t>LQW15AN4N7B80D</t>
  </si>
  <si>
    <t>Capacitors</t>
  </si>
  <si>
    <t>Capacitance</t>
  </si>
  <si>
    <t>Nominal value (pF)</t>
  </si>
  <si>
    <t>Tolerance (pF)</t>
  </si>
  <si>
    <t>GJM1555C1HR90WB01D</t>
  </si>
  <si>
    <t>GJM1555C1H1R1WB01D</t>
  </si>
  <si>
    <t>GJM1555C1H1R7WB01D</t>
  </si>
  <si>
    <t>GJM1555C1H2R1WB01D</t>
  </si>
  <si>
    <t>GJM1555C1HR60WB01D</t>
  </si>
  <si>
    <t>GJM1555C1HR80WB01D</t>
  </si>
  <si>
    <t>Resistors</t>
  </si>
  <si>
    <t>Resistance (Ohm)</t>
  </si>
  <si>
    <t>Power (W)</t>
  </si>
  <si>
    <t>FC0402E50R0FBT0</t>
  </si>
  <si>
    <t>Connectors</t>
  </si>
  <si>
    <t>CONSMA003.031-G</t>
  </si>
  <si>
    <t>SMA Fml Edge Mnt for 0.031 PCB</t>
  </si>
  <si>
    <t>VSWR 1.2:1 @ 6 GHz ~ 99.17% through power</t>
  </si>
  <si>
    <t xml:space="preserve">PCB </t>
  </si>
  <si>
    <t>Total</t>
  </si>
  <si>
    <t>FC0402E50R0BST1</t>
  </si>
  <si>
    <t>GJM1555C1H1R1WB01J</t>
  </si>
  <si>
    <t>GJM1555C1HR60BB01D</t>
  </si>
  <si>
    <t>GJM1555C1HR80BB01J</t>
  </si>
  <si>
    <t>GJM1555C1HR90WB01J</t>
  </si>
  <si>
    <t>LQW15AN16NJ80D</t>
  </si>
  <si>
    <t>LQW15AN4N7G80D</t>
  </si>
  <si>
    <t>LQW15AN5N7G80B</t>
  </si>
  <si>
    <t>Solder Paste</t>
  </si>
  <si>
    <t>Stencil</t>
  </si>
  <si>
    <t>Shipping</t>
  </si>
  <si>
    <t xml:space="preserve">50 x 50 mm </t>
  </si>
  <si>
    <t>CH0402-50RGFT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</si>
</sst>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"/>
    <numFmt numFmtId="165" formatCode="_([$$-409]* #,##0.00_);_([$$-409]* \(#,##0.00\);_([$$-409]* &quot;-&quot;??_);_(@_)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33333"/>
      <name val="Aptos Narrow"/>
      <scheme val="minor"/>
    </font>
    <font>
      <b/>
      <sz val="11"/>
      <color theme="1"/>
      <name val="Aptos Narrow"/>
      <family val="2"/>
      <scheme val="minor"/>
    </font>
    <font>
      <sz val="9"/>
      <color rgb="FF333333"/>
      <name val="Arial"/>
      <charset val="1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2" fillId="0" borderId="0" xfId="0" applyFont="1"/>
    <xf numFmtId="165" fontId="0" fillId="0" borderId="0" xfId="1" applyNumberFormat="1" applyFont="1" applyAlignment="1"/>
    <xf numFmtId="165" fontId="0" fillId="0" borderId="0" xfId="1" applyNumberFormat="1" applyFont="1"/>
    <xf numFmtId="165" fontId="0" fillId="0" borderId="0" xfId="0" applyNumberFormat="1"/>
    <xf numFmtId="0" fontId="3" fillId="0" borderId="0" xfId="0" applyFont="1"/>
    <xf numFmtId="0" fontId="4" fillId="0" borderId="0" xfId="0" applyFont="1"/>
    <xf numFmtId="49" fontId="0" fillId="0" borderId="0" xfId="0" applyNumberFormat="1" applyAlignment="1">
      <alignment horizontal="right"/>
    </xf>
    <xf numFmtId="0" fontId="0" fillId="2" borderId="0" xfId="0" applyFill="1"/>
    <xf numFmtId="0" fontId="5" fillId="0" borderId="0" xfId="2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com/ProductDetail/Murata-Electronics/GJM1555C1H1R7WB01D?qs=YLLXL5qGyDvq5L%2F8T16uJQ%3D%3D" TargetMode="External"/><Relationship Id="rId13" Type="http://schemas.openxmlformats.org/officeDocument/2006/relationships/hyperlink" Target="https://www.mouser.com/ProductDetail/TE-Connectivity-Linx-Technologies/CONSMA003.031-G?qs=vLWxofP3U2x2%252BzzRme2ncQ%3D%3D" TargetMode="External"/><Relationship Id="rId3" Type="http://schemas.openxmlformats.org/officeDocument/2006/relationships/hyperlink" Target="https://www.mouser.com/ProductDetail/Murata-Electronics/LQG15WZ2N4B02D?qs=d0WKAl%252BL4KaO67V0nw9vUw%3D%3D" TargetMode="External"/><Relationship Id="rId7" Type="http://schemas.openxmlformats.org/officeDocument/2006/relationships/hyperlink" Target="https://www.mouser.com/ProductDetail/Murata-Electronics/GJM1555C1H1R1WB01D?qs=YLLXL5qGyDuBv7V08%252BXwhw%3D%3D" TargetMode="External"/><Relationship Id="rId12" Type="http://schemas.openxmlformats.org/officeDocument/2006/relationships/hyperlink" Target="https://www.mouser.com/ProductDetail/Vishay-Thin-Film/FC0402E50R0FBT0?qs=PUo64BuKcKjEIKpoNb4C8Q%3D%3D" TargetMode="External"/><Relationship Id="rId2" Type="http://schemas.openxmlformats.org/officeDocument/2006/relationships/hyperlink" Target="https://www.mouser.com/ProductDetail/Murata-Electronics/LQW15AN5N2B80D?qs=p1l%252BOuySasK7tkixObu%2F5Q%3D%3D" TargetMode="External"/><Relationship Id="rId1" Type="http://schemas.openxmlformats.org/officeDocument/2006/relationships/hyperlink" Target="https://www.mouser.com/ProductDetail/Murata-Electronics/LQW15AN5N7B80D?qs=p1l%252BOuySasKoSNH0oiDGyw%3D%3D" TargetMode="External"/><Relationship Id="rId6" Type="http://schemas.openxmlformats.org/officeDocument/2006/relationships/hyperlink" Target="https://www.mouser.com/ProductDetail/Murata-Electronics/GJM1555C1HR90WB01D?qs=YLLXL5qGyDsh2XEUwO2sEw%3D%3D" TargetMode="External"/><Relationship Id="rId11" Type="http://schemas.openxmlformats.org/officeDocument/2006/relationships/hyperlink" Target="https://www.mouser.com/ProductDetail/Murata-Electronics/GJM1555C1HR80WB01D?qs=YLLXL5qGyDtRW%252Bzk3T1w%2Fw%3D%3D" TargetMode="External"/><Relationship Id="rId5" Type="http://schemas.openxmlformats.org/officeDocument/2006/relationships/hyperlink" Target="https://www.mouser.com/ProductDetail/Murata-Electronics/LQW15AN4N7B80D?qs=p1l%252BOuySasLYagPJ5PbJ%252Bw%3D%3D" TargetMode="External"/><Relationship Id="rId10" Type="http://schemas.openxmlformats.org/officeDocument/2006/relationships/hyperlink" Target="https://www.mouser.com/ProductDetail/Murata-Electronics/GJM1555C1HR60WB01D?qs=YLLXL5qGyDsJvka%2F49Tbhg%3D%3D" TargetMode="External"/><Relationship Id="rId4" Type="http://schemas.openxmlformats.org/officeDocument/2006/relationships/hyperlink" Target="https://www.mouser.com/ProductDetail/Murata-Electronics/LQW15AN16NG80D?qs=p1l%252BOuySasLuJ3RiSoG7YA%3D%3D" TargetMode="External"/><Relationship Id="rId9" Type="http://schemas.openxmlformats.org/officeDocument/2006/relationships/hyperlink" Target="https://www.mouser.com/ProductDetail/Murata-Electronics/GJM1555C1H2R1WB01D?qs=YLLXL5qGyDt06fwWj1X9Y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969E7-F004-4943-95E1-DABE2EFC9030}">
  <dimension ref="A1:I43"/>
  <sheetViews>
    <sheetView tabSelected="1" zoomScale="115" zoomScaleNormal="115" workbookViewId="0">
      <selection activeCell="F26" sqref="F26"/>
    </sheetView>
  </sheetViews>
  <sheetFormatPr defaultRowHeight="14.25"/>
  <cols>
    <col min="1" max="1" width="23.25" customWidth="1"/>
    <col min="2" max="2" width="18.375" bestFit="1" customWidth="1"/>
    <col min="3" max="3" width="13.875" bestFit="1" customWidth="1"/>
    <col min="5" max="5" width="32.125" customWidth="1"/>
    <col min="6" max="6" width="17.875" bestFit="1" customWidth="1"/>
  </cols>
  <sheetData>
    <row r="1" spans="1:9" ht="15">
      <c r="A1" s="13" t="s">
        <v>0</v>
      </c>
      <c r="B1" s="13"/>
      <c r="C1" s="13"/>
      <c r="D1" s="13"/>
      <c r="E1" s="13"/>
      <c r="F1" s="13"/>
      <c r="G1" s="13"/>
      <c r="H1" s="13"/>
    </row>
    <row r="3" spans="1:9" ht="15">
      <c r="A3" s="7" t="s">
        <v>1</v>
      </c>
    </row>
    <row r="4" spans="1:9">
      <c r="A4" s="1"/>
      <c r="B4" s="12" t="s">
        <v>2</v>
      </c>
      <c r="C4" s="12"/>
      <c r="D4" s="1"/>
      <c r="E4" s="1"/>
      <c r="F4" s="1"/>
    </row>
    <row r="5" spans="1:9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t="s">
        <v>11</v>
      </c>
    </row>
    <row r="6" spans="1:9">
      <c r="A6" s="11" t="s">
        <v>12</v>
      </c>
      <c r="B6">
        <v>5.7</v>
      </c>
      <c r="C6" t="s">
        <v>13</v>
      </c>
      <c r="D6">
        <v>35</v>
      </c>
      <c r="E6" s="2">
        <v>8</v>
      </c>
      <c r="F6" s="9" t="s">
        <v>14</v>
      </c>
      <c r="G6">
        <v>2</v>
      </c>
      <c r="H6" s="4">
        <v>0.22</v>
      </c>
      <c r="I6" s="6">
        <f>G6*H6</f>
        <v>0.44</v>
      </c>
    </row>
    <row r="7" spans="1:9">
      <c r="A7" s="11" t="s">
        <v>15</v>
      </c>
      <c r="B7">
        <v>5.2</v>
      </c>
      <c r="C7" t="s">
        <v>13</v>
      </c>
      <c r="D7">
        <v>35</v>
      </c>
      <c r="E7" s="2">
        <v>8</v>
      </c>
      <c r="F7" s="9" t="s">
        <v>14</v>
      </c>
      <c r="G7">
        <v>2</v>
      </c>
      <c r="H7" s="4">
        <v>0.2</v>
      </c>
      <c r="I7" s="6">
        <f>G7*H7</f>
        <v>0.4</v>
      </c>
    </row>
    <row r="8" spans="1:9">
      <c r="A8" s="11" t="s">
        <v>16</v>
      </c>
      <c r="B8">
        <v>2.4</v>
      </c>
      <c r="C8" t="s">
        <v>17</v>
      </c>
      <c r="D8">
        <v>23</v>
      </c>
      <c r="E8" s="2">
        <v>6.5</v>
      </c>
      <c r="F8" s="9" t="s">
        <v>14</v>
      </c>
      <c r="G8">
        <v>4</v>
      </c>
      <c r="H8" s="4">
        <v>0.23</v>
      </c>
      <c r="I8" s="6">
        <f>G8*H8</f>
        <v>0.92</v>
      </c>
    </row>
    <row r="9" spans="1:9">
      <c r="A9" s="11" t="s">
        <v>18</v>
      </c>
      <c r="B9">
        <v>16</v>
      </c>
      <c r="C9" t="s">
        <v>19</v>
      </c>
      <c r="D9">
        <v>31</v>
      </c>
      <c r="E9" s="2">
        <v>5</v>
      </c>
      <c r="F9" s="9" t="s">
        <v>14</v>
      </c>
      <c r="G9">
        <v>2</v>
      </c>
      <c r="H9" s="4">
        <v>0.22</v>
      </c>
      <c r="I9" s="6">
        <f t="shared" ref="I9:I27" si="0">G9*H9</f>
        <v>0.44</v>
      </c>
    </row>
    <row r="10" spans="1:9">
      <c r="A10" s="11" t="s">
        <v>20</v>
      </c>
      <c r="B10">
        <v>4.7</v>
      </c>
      <c r="C10" t="s">
        <v>13</v>
      </c>
      <c r="D10">
        <v>31</v>
      </c>
      <c r="E10">
        <v>8</v>
      </c>
      <c r="F10" s="9" t="s">
        <v>14</v>
      </c>
      <c r="G10">
        <v>1</v>
      </c>
      <c r="H10" s="4">
        <v>0.22</v>
      </c>
      <c r="I10" s="6">
        <f t="shared" ref="I10" si="1">G10*H10</f>
        <v>0.22</v>
      </c>
    </row>
    <row r="11" spans="1:9">
      <c r="E11" s="2"/>
      <c r="F11" s="9"/>
      <c r="H11" s="5"/>
      <c r="I11" s="6"/>
    </row>
    <row r="12" spans="1:9" ht="15">
      <c r="A12" s="7" t="s">
        <v>21</v>
      </c>
      <c r="E12" s="2"/>
      <c r="F12" s="9"/>
      <c r="H12" s="5"/>
      <c r="I12" s="6"/>
    </row>
    <row r="13" spans="1:9">
      <c r="B13" s="12" t="s">
        <v>22</v>
      </c>
      <c r="C13" s="12"/>
      <c r="E13" s="2"/>
      <c r="F13" s="9"/>
      <c r="H13" s="5"/>
      <c r="I13" s="6"/>
    </row>
    <row r="14" spans="1:9">
      <c r="A14" s="1" t="s">
        <v>3</v>
      </c>
      <c r="B14" s="1" t="s">
        <v>23</v>
      </c>
      <c r="C14" s="1" t="s">
        <v>24</v>
      </c>
      <c r="D14" s="1" t="s">
        <v>6</v>
      </c>
      <c r="E14" s="2"/>
      <c r="F14" s="9"/>
      <c r="G14" s="1"/>
      <c r="H14" s="5"/>
      <c r="I14" s="6"/>
    </row>
    <row r="15" spans="1:9">
      <c r="A15" s="11" t="s">
        <v>25</v>
      </c>
      <c r="B15" s="2">
        <v>0.9</v>
      </c>
      <c r="C15">
        <v>0.05</v>
      </c>
      <c r="D15">
        <v>400</v>
      </c>
      <c r="E15" s="2"/>
      <c r="F15" s="9" t="s">
        <v>14</v>
      </c>
      <c r="G15">
        <v>2</v>
      </c>
      <c r="H15" s="4">
        <v>0.17</v>
      </c>
      <c r="I15" s="6">
        <f t="shared" si="0"/>
        <v>0.34</v>
      </c>
    </row>
    <row r="16" spans="1:9">
      <c r="A16" s="11" t="s">
        <v>26</v>
      </c>
      <c r="B16">
        <v>1.1000000000000001</v>
      </c>
      <c r="C16">
        <v>0.05</v>
      </c>
      <c r="D16">
        <v>400</v>
      </c>
      <c r="E16" s="2"/>
      <c r="F16" s="9" t="s">
        <v>14</v>
      </c>
      <c r="G16">
        <v>1</v>
      </c>
      <c r="H16" s="4">
        <v>0.18</v>
      </c>
      <c r="I16" s="6">
        <f t="shared" si="0"/>
        <v>0.18</v>
      </c>
    </row>
    <row r="17" spans="1:9">
      <c r="A17" s="11" t="s">
        <v>27</v>
      </c>
      <c r="B17">
        <v>1.7</v>
      </c>
      <c r="C17">
        <v>0.04</v>
      </c>
      <c r="D17">
        <v>400</v>
      </c>
      <c r="E17" s="2"/>
      <c r="F17" s="9" t="s">
        <v>14</v>
      </c>
      <c r="G17">
        <v>2</v>
      </c>
      <c r="H17" s="5">
        <v>0.17</v>
      </c>
      <c r="I17" s="6">
        <f t="shared" si="0"/>
        <v>0.34</v>
      </c>
    </row>
    <row r="18" spans="1:9">
      <c r="A18" s="11" t="s">
        <v>28</v>
      </c>
      <c r="B18">
        <v>2.1</v>
      </c>
      <c r="C18">
        <v>0.05</v>
      </c>
      <c r="D18">
        <v>400</v>
      </c>
      <c r="E18" s="2"/>
      <c r="F18" s="9" t="s">
        <v>14</v>
      </c>
      <c r="G18">
        <v>2</v>
      </c>
      <c r="H18" s="4">
        <v>0.17</v>
      </c>
      <c r="I18" s="6">
        <f t="shared" si="0"/>
        <v>0.34</v>
      </c>
    </row>
    <row r="19" spans="1:9">
      <c r="A19" s="11" t="s">
        <v>29</v>
      </c>
      <c r="B19">
        <v>0.6</v>
      </c>
      <c r="C19">
        <v>0.05</v>
      </c>
      <c r="D19">
        <v>400</v>
      </c>
      <c r="E19" s="2"/>
      <c r="F19" s="9" t="s">
        <v>14</v>
      </c>
      <c r="G19">
        <v>4</v>
      </c>
      <c r="H19" s="4">
        <v>0.18</v>
      </c>
      <c r="I19" s="6">
        <f t="shared" si="0"/>
        <v>0.72</v>
      </c>
    </row>
    <row r="20" spans="1:9">
      <c r="A20" s="11" t="s">
        <v>30</v>
      </c>
      <c r="B20">
        <v>0.8</v>
      </c>
      <c r="C20">
        <v>0.05</v>
      </c>
      <c r="D20">
        <v>400</v>
      </c>
      <c r="E20" s="2"/>
      <c r="F20" s="9" t="s">
        <v>14</v>
      </c>
      <c r="G20">
        <v>2</v>
      </c>
      <c r="H20" s="4">
        <v>0.2</v>
      </c>
      <c r="I20" s="6">
        <f t="shared" si="0"/>
        <v>0.4</v>
      </c>
    </row>
    <row r="21" spans="1:9">
      <c r="E21" s="2"/>
      <c r="F21" s="9"/>
      <c r="H21" s="4"/>
      <c r="I21" s="6"/>
    </row>
    <row r="22" spans="1:9">
      <c r="E22" s="2"/>
      <c r="F22" s="9"/>
      <c r="H22" s="6"/>
      <c r="I22" s="6"/>
    </row>
    <row r="23" spans="1:9" ht="15">
      <c r="A23" s="7" t="s">
        <v>31</v>
      </c>
      <c r="B23" s="1" t="s">
        <v>32</v>
      </c>
      <c r="D23" t="s">
        <v>33</v>
      </c>
      <c r="E23" s="2"/>
      <c r="F23" s="9"/>
      <c r="H23" s="6"/>
      <c r="I23" s="6"/>
    </row>
    <row r="24" spans="1:9">
      <c r="A24" s="11" t="s">
        <v>34</v>
      </c>
      <c r="B24">
        <v>50</v>
      </c>
      <c r="D24">
        <v>0.05</v>
      </c>
      <c r="E24" s="2"/>
      <c r="F24" s="9" t="s">
        <v>14</v>
      </c>
      <c r="G24">
        <v>0</v>
      </c>
      <c r="H24" s="6">
        <v>1.57</v>
      </c>
      <c r="I24" s="6">
        <f t="shared" si="0"/>
        <v>0</v>
      </c>
    </row>
    <row r="25" spans="1:9">
      <c r="A25" t="s">
        <v>53</v>
      </c>
      <c r="D25">
        <v>0.3</v>
      </c>
      <c r="E25" s="2"/>
      <c r="F25" s="9" t="s">
        <v>14</v>
      </c>
      <c r="G25">
        <v>6</v>
      </c>
      <c r="H25" s="6">
        <v>3.56</v>
      </c>
      <c r="I25" s="6">
        <f t="shared" si="0"/>
        <v>21.36</v>
      </c>
    </row>
    <row r="26" spans="1:9" ht="15">
      <c r="A26" s="7" t="s">
        <v>35</v>
      </c>
      <c r="E26" s="2"/>
      <c r="F26" s="2"/>
      <c r="H26" s="6"/>
      <c r="I26" s="6"/>
    </row>
    <row r="27" spans="1:9">
      <c r="A27" s="11" t="s">
        <v>36</v>
      </c>
      <c r="B27" s="3" t="s">
        <v>37</v>
      </c>
      <c r="E27" s="2" t="s">
        <v>38</v>
      </c>
      <c r="F27" s="2"/>
      <c r="G27">
        <v>2</v>
      </c>
      <c r="H27" s="6">
        <v>4.03</v>
      </c>
      <c r="I27" s="6">
        <f t="shared" si="0"/>
        <v>8.06</v>
      </c>
    </row>
    <row r="28" spans="1:9">
      <c r="E28" s="2"/>
      <c r="F28" s="2"/>
      <c r="H28" s="6"/>
      <c r="I28" s="6"/>
    </row>
    <row r="29" spans="1:9" ht="15">
      <c r="A29" s="7" t="s">
        <v>39</v>
      </c>
      <c r="E29" s="2"/>
      <c r="F29" s="2"/>
      <c r="H29" s="6"/>
      <c r="I29" s="6"/>
    </row>
    <row r="30" spans="1:9">
      <c r="A30" t="s">
        <v>52</v>
      </c>
      <c r="E30" s="2"/>
      <c r="F30" s="2"/>
      <c r="H30" s="6"/>
      <c r="I30" s="6">
        <v>80</v>
      </c>
    </row>
    <row r="31" spans="1:9">
      <c r="A31" t="s">
        <v>50</v>
      </c>
      <c r="E31" s="2"/>
      <c r="F31" s="2"/>
      <c r="H31" s="6"/>
      <c r="I31" s="6">
        <v>7.11</v>
      </c>
    </row>
    <row r="32" spans="1:9">
      <c r="A32" t="s">
        <v>51</v>
      </c>
      <c r="E32" s="2"/>
      <c r="F32" s="2"/>
      <c r="H32" s="6"/>
      <c r="I32" s="6">
        <v>32.6</v>
      </c>
    </row>
    <row r="33" spans="1:9">
      <c r="A33" t="s">
        <v>49</v>
      </c>
      <c r="E33" s="2"/>
      <c r="F33" s="2"/>
      <c r="H33" s="6"/>
      <c r="I33" s="6">
        <v>20</v>
      </c>
    </row>
    <row r="34" spans="1:9">
      <c r="E34" s="2"/>
      <c r="F34" s="2"/>
      <c r="H34" s="6"/>
    </row>
    <row r="35" spans="1:9">
      <c r="A35" t="s">
        <v>40</v>
      </c>
      <c r="H35" s="6"/>
      <c r="I35" s="6">
        <f>SUM(I6:I33)</f>
        <v>173.87</v>
      </c>
    </row>
    <row r="36" spans="1:9">
      <c r="H36" s="6"/>
    </row>
    <row r="37" spans="1:9">
      <c r="H37" s="6"/>
    </row>
    <row r="38" spans="1:9">
      <c r="H38" s="6"/>
    </row>
    <row r="39" spans="1:9">
      <c r="H39" s="6"/>
    </row>
    <row r="40" spans="1:9">
      <c r="H40" s="6"/>
    </row>
    <row r="41" spans="1:9">
      <c r="H41" s="6"/>
    </row>
    <row r="42" spans="1:9">
      <c r="H42" s="6"/>
    </row>
    <row r="43" spans="1:9">
      <c r="H43" s="6"/>
    </row>
  </sheetData>
  <mergeCells count="3">
    <mergeCell ref="B4:C4"/>
    <mergeCell ref="B13:C13"/>
    <mergeCell ref="A1:H1"/>
  </mergeCells>
  <phoneticPr fontId="6" type="noConversion"/>
  <hyperlinks>
    <hyperlink ref="A6" r:id="rId1" xr:uid="{012047F9-A9B6-4C18-A463-D58E54419369}"/>
    <hyperlink ref="A7" r:id="rId2" xr:uid="{851F5B1D-DB73-4996-BF59-6591187C31BC}"/>
    <hyperlink ref="A8" r:id="rId3" xr:uid="{7BF41FCC-9D45-4149-9A86-6F96AC0CD42C}"/>
    <hyperlink ref="A9" r:id="rId4" xr:uid="{81EF04AC-0047-4636-98DD-E38C39C70EE4}"/>
    <hyperlink ref="A10" r:id="rId5" xr:uid="{669B968D-01E7-4F1E-BE66-E3F42FF3DCB7}"/>
    <hyperlink ref="A15" r:id="rId6" xr:uid="{213BF95E-8654-4EA2-A055-F0D316A3D0E6}"/>
    <hyperlink ref="A16" r:id="rId7" xr:uid="{692A1D13-C3AF-4CF2-968E-1DC44B99382A}"/>
    <hyperlink ref="A17" r:id="rId8" xr:uid="{DCF12A1E-B0A5-48B7-9421-957203067CC5}"/>
    <hyperlink ref="A18" r:id="rId9" xr:uid="{A92E6ED5-D859-4FD9-B837-21056871E620}"/>
    <hyperlink ref="A19" r:id="rId10" xr:uid="{CB5C6F70-CC60-448D-BA67-9E7EF584E72D}"/>
    <hyperlink ref="A20" r:id="rId11" xr:uid="{D22CE4E2-3AFE-498D-9571-7EEFD6967FC6}"/>
    <hyperlink ref="A24" r:id="rId12" xr:uid="{03C4760B-FBFC-4BF8-8407-FE56569B412A}"/>
    <hyperlink ref="A27" r:id="rId13" xr:uid="{23DD5CC1-577A-4B72-AE5D-632C1B5550C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80331-2285-49D7-9099-E20EB5E87EBF}">
  <dimension ref="A1:B13"/>
  <sheetViews>
    <sheetView zoomScale="85" zoomScaleNormal="85" workbookViewId="0">
      <selection activeCell="A2" sqref="A2"/>
    </sheetView>
  </sheetViews>
  <sheetFormatPr defaultRowHeight="14.25"/>
  <cols>
    <col min="1" max="2" width="22.875" bestFit="1" customWidth="1"/>
  </cols>
  <sheetData>
    <row r="1" spans="1:2">
      <c r="A1" s="8" t="s">
        <v>36</v>
      </c>
      <c r="B1" t="s">
        <v>36</v>
      </c>
    </row>
    <row r="2" spans="1:2">
      <c r="A2" s="10" t="s">
        <v>34</v>
      </c>
      <c r="B2" t="s">
        <v>41</v>
      </c>
    </row>
    <row r="3" spans="1:2">
      <c r="A3" s="10" t="s">
        <v>26</v>
      </c>
      <c r="B3" t="s">
        <v>42</v>
      </c>
    </row>
    <row r="4" spans="1:2">
      <c r="A4" t="s">
        <v>27</v>
      </c>
      <c r="B4" t="s">
        <v>27</v>
      </c>
    </row>
    <row r="5" spans="1:2">
      <c r="A5" s="10" t="s">
        <v>28</v>
      </c>
    </row>
    <row r="6" spans="1:2">
      <c r="A6" t="s">
        <v>29</v>
      </c>
      <c r="B6" t="s">
        <v>43</v>
      </c>
    </row>
    <row r="7" spans="1:2">
      <c r="A7" s="10" t="s">
        <v>30</v>
      </c>
      <c r="B7" t="s">
        <v>44</v>
      </c>
    </row>
    <row r="8" spans="1:2">
      <c r="A8" s="10" t="s">
        <v>25</v>
      </c>
      <c r="B8" t="s">
        <v>45</v>
      </c>
    </row>
    <row r="9" spans="1:2">
      <c r="A9" t="s">
        <v>16</v>
      </c>
      <c r="B9" t="s">
        <v>16</v>
      </c>
    </row>
    <row r="10" spans="1:2">
      <c r="A10" t="s">
        <v>18</v>
      </c>
      <c r="B10" t="s">
        <v>46</v>
      </c>
    </row>
    <row r="11" spans="1:2">
      <c r="A11" t="s">
        <v>20</v>
      </c>
      <c r="B11" t="s">
        <v>47</v>
      </c>
    </row>
    <row r="12" spans="1:2">
      <c r="A12" t="s">
        <v>15</v>
      </c>
      <c r="B12" t="s">
        <v>15</v>
      </c>
    </row>
    <row r="13" spans="1:2">
      <c r="A13" s="10" t="s">
        <v>12</v>
      </c>
      <c r="B13" t="s">
        <v>48</v>
      </c>
    </row>
  </sheetData>
  <sortState xmlns:xlrd2="http://schemas.microsoft.com/office/spreadsheetml/2017/richdata2" ref="B2:B13">
    <sortCondition ref="B2:B1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1E879C6CA97243B0D17CE13D00787F" ma:contentTypeVersion="13" ma:contentTypeDescription="Create a new document." ma:contentTypeScope="" ma:versionID="53b571245d129a979379d0c1e6b9370a">
  <xsd:schema xmlns:xsd="http://www.w3.org/2001/XMLSchema" xmlns:xs="http://www.w3.org/2001/XMLSchema" xmlns:p="http://schemas.microsoft.com/office/2006/metadata/properties" xmlns:ns2="d00a27ab-3d77-41f8-aceb-02fe6464e679" xmlns:ns3="951d268b-fb2c-4bcc-9956-ad1d396ce238" targetNamespace="http://schemas.microsoft.com/office/2006/metadata/properties" ma:root="true" ma:fieldsID="962709502d80c7e94866d0f20a03e82e" ns2:_="" ns3:_="">
    <xsd:import namespace="d00a27ab-3d77-41f8-aceb-02fe6464e679"/>
    <xsd:import namespace="951d268b-fb2c-4bcc-9956-ad1d396ce2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0a27ab-3d77-41f8-aceb-02fe6464e6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d268b-fb2c-4bcc-9956-ad1d396ce23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377effd-5ea8-4b1e-a70f-ac2460d75ec3}" ma:internalName="TaxCatchAll" ma:showField="CatchAllData" ma:web="951d268b-fb2c-4bcc-9956-ad1d396ce2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0a27ab-3d77-41f8-aceb-02fe6464e679">
      <Terms xmlns="http://schemas.microsoft.com/office/infopath/2007/PartnerControls"/>
    </lcf76f155ced4ddcb4097134ff3c332f>
    <TaxCatchAll xmlns="951d268b-fb2c-4bcc-9956-ad1d396ce238" xsi:nil="true"/>
  </documentManagement>
</p:properties>
</file>

<file path=customXml/itemProps1.xml><?xml version="1.0" encoding="utf-8"?>
<ds:datastoreItem xmlns:ds="http://schemas.openxmlformats.org/officeDocument/2006/customXml" ds:itemID="{2D53148C-CCE5-4C24-8400-BD334E5B43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0a27ab-3d77-41f8-aceb-02fe6464e679"/>
    <ds:schemaRef ds:uri="951d268b-fb2c-4bcc-9956-ad1d396ce2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358841-09F7-4666-B135-543369880C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C1C70D-99D8-4FA3-B7BE-0B8CF211EBCC}">
  <ds:schemaRefs>
    <ds:schemaRef ds:uri="http://schemas.microsoft.com/office/2006/metadata/properties"/>
    <ds:schemaRef ds:uri="http://schemas.microsoft.com/office/infopath/2007/PartnerControls"/>
    <ds:schemaRef ds:uri="d00a27ab-3d77-41f8-aceb-02fe6464e679"/>
    <ds:schemaRef ds:uri="951d268b-fb2c-4bcc-9956-ad1d396ce238"/>
  </ds:schemaRefs>
</ds:datastoreItem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Bobby Valois</dc:creator>
  <cp:keywords/>
  <dc:description/>
  <cp:lastModifiedBy>Gabaldon, Eli</cp:lastModifiedBy>
  <cp:revision/>
  <dcterms:created xsi:type="dcterms:W3CDTF">2024-08-08T01:29:58Z</dcterms:created>
  <dcterms:modified xsi:type="dcterms:W3CDTF">2024-11-16T01:06:10Z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0x010100EC1E879C6CA97243B0D17CE13D00787F</vt:lpwstr>
  </property>
</Properties>
</file>